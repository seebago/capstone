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1V\Grupo 6\"/>
    </mc:Choice>
  </mc:AlternateContent>
  <xr:revisionPtr revIDLastSave="0" documentId="13_ncr:1_{96039F39-A0E1-4C07-B4DB-349BCAC95D0E}"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<sst xmlns="http://schemas.openxmlformats.org/spreadsheetml/2006/main" count="157" uniqueCount="98">
  <si>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</si>
  <si>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</si>
  <si>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</si>
  <si>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</si>
  <si>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</si>
  <si>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</si>
  <si>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</si>
  <si>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</si>
  <si>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</si>
  <si>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</si>
  <si>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</si>
  <si>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</si>
  <si>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</si>
  <si>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</si>
  <si>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</si>
  <si>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</si>
  <si>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</si>
  <si>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</si>
  <si>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</si>
  <si>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</si>
  <si>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</si>
  <si>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</si>
  <si>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</si>
  <si>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</si>
  <si>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</si>
  <si>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</si>
  <si>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</si>
  <si>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</si>
  <si>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</si>
  <si>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</si>
  <si>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</si>
  <si>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</si>
  <si>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</si>
  <si>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</si>
  <si>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</si>
  <si>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</si>
  <si>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</si>
  <si>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</si>
  <si>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</si>
  <si>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</si>
  <si>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</si>
  <si>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</si>
  <si>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</si>
  <si>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</si>
  <si>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</si>
  <si>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</si>
  <si>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</si>
  <si>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</si>
  <si>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</si>
  <si>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</si>
  <si>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</si>
  <si>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</si>
  <si>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</si>
  <si>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</si>
  <si>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</si>
  <si>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</si>
  <si>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</si>
  <si>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</si>
  <si>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</si>
  <si>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</si>
  <si>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</si>
  <si>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</si>
  <si>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</si>
  <si>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</si>
  <si>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</si>
  <si>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</si>
  <si>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</si>
  <si>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</si>
  <si>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</si>
  <si>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</si>
  <si>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</si>
  <si>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</si>
  <si>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</si>
  <si>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</si>
  <si>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</si>
  <si>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</si>
  <si>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</si>
  <si>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</si>
  <si>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</si>
  <si>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</si>
  <si>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</si>
  <si>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</si>
  <si>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</si>
  <si>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</si>
  <si>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</si>
  <si>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</si>
  <si>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</si>
  <si>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</si>
  <si>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</si>
  <si>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</si>
  <si>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</si>
  <si>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</si>
  <si>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</si>
  <si>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</si>
  <si>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</si>
  <si>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GERMAIN NAVARRO, ARON</t>
  </si>
  <si>
    <t>GONZALEZ GARRIDO, SEBASTIAN ALONSO</t>
  </si>
  <si>
    <t>LOPEZ ALEGRIA, VICENTE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</si>
</sst>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17" sqref="C17"/>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6.4</v>
      </c>
      <c r="D4" s="6">
        <f>$C$35</f>
        <v>5.3</v>
      </c>
      <c r="E4" s="51">
        <f>C4*C$2+D4*D$2</f>
        <v>6.1250000000000009</v>
      </c>
      <c r="G4" s="1"/>
    </row>
    <row r="5" spans="1:11" ht="14.4" x14ac:dyDescent="0.3">
      <c r="A5" s="5">
        <v>2</v>
      </c>
      <c r="B5" s="38" t="s">
        <v>96</v>
      </c>
      <c r="C5" s="6">
        <f>EVALUACION1!$C$24</f>
        <v>6.4</v>
      </c>
      <c r="D5" s="6">
        <f>C47</f>
        <v>5.3</v>
      </c>
      <c r="E5" s="51">
        <f t="shared" ref="E5:E6" si="0">C5*C$2+D5*D$2</f>
        <v>6.1250000000000009</v>
      </c>
      <c r="G5" s="1"/>
    </row>
    <row r="6" spans="1:11" ht="14.4" x14ac:dyDescent="0.3">
      <c r="A6" s="5">
        <v>3</v>
      </c>
      <c r="B6" s="38" t="s">
        <v>97</v>
      </c>
      <c r="C6" s="6">
        <f>EVALUACION1!$C$24</f>
        <v>6.4</v>
      </c>
      <c r="D6" s="6">
        <f>C58</f>
        <v>5.3</v>
      </c>
      <c r="E6" s="51">
        <f t="shared" si="0"/>
        <v>6.1250000000000009</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8</v>
      </c>
      <c r="D17" s="17" t="str">
        <f t="shared" ref="D17:D22" si="12">IF($C17=CL,"X","")</f>
        <v/>
      </c>
      <c r="E17" s="17" t="str">
        <f t="shared" ref="E17" si="13">IF(D17="X",100*0.1,"")</f>
        <v/>
      </c>
      <c r="F17" s="17" t="str">
        <f t="shared" ref="F17:F22" si="14">IF($C17=L,"X","")</f>
        <v>X</v>
      </c>
      <c r="G17" s="17">
        <f t="shared" ref="G17" si="15">IF(F17="X",60*0.1,"")</f>
        <v>6</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64</v>
      </c>
      <c r="D23" s="20"/>
      <c r="E23" s="20">
        <f>SUM(E13:E22)</f>
        <v>55</v>
      </c>
      <c r="F23" s="20"/>
      <c r="G23" s="20">
        <f>SUM(G13:G22)</f>
        <v>9</v>
      </c>
      <c r="H23" s="20"/>
      <c r="I23" s="20">
        <f>SUM(I13:I22)</f>
        <v>0</v>
      </c>
      <c r="J23" s="20"/>
      <c r="K23" s="20">
        <f>SUM(K13:K22)</f>
        <v>0</v>
      </c>
    </row>
    <row r="24" spans="1:11" ht="15.75" customHeight="1" outlineLevel="1" x14ac:dyDescent="0.35">
      <c r="A24" s="54"/>
      <c r="B24" s="43" t="s">
        <v>16</v>
      </c>
      <c r="C24" s="21">
        <f>VLOOKUP(C23,ESCALA_IEP!A2:B142,2,FALSE)</f>
        <v>6.4</v>
      </c>
    </row>
    <row r="25" spans="1:11" ht="15.75" customHeight="1" x14ac:dyDescent="0.3"/>
    <row r="26" spans="1:11" ht="15.75" customHeight="1" x14ac:dyDescent="0.3"/>
    <row r="27" spans="1:11" ht="15.75" customHeight="1" x14ac:dyDescent="0.3">
      <c r="A27" s="65" t="s">
        <v>18</v>
      </c>
      <c r="B27" s="53" t="s">
        <v>19</v>
      </c>
      <c r="C27" s="55" t="str">
        <f>$B$4</f>
        <v>GERMAIN NAVARRO, ARON</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78</v>
      </c>
      <c r="D31" s="17" t="str">
        <f t="shared" ref="D31:D32" si="25">IF($C31=CL,"X","")</f>
        <v/>
      </c>
      <c r="E31" s="17" t="str">
        <f>IF(D31="X",100*0.1,"")</f>
        <v/>
      </c>
      <c r="F31" s="17" t="str">
        <f t="shared" ref="F31:F32" si="26">IF($C31=L,"X","")</f>
        <v/>
      </c>
      <c r="G31" s="17" t="str">
        <f>IF(F31="X",60*0.1,"")</f>
        <v/>
      </c>
      <c r="H31" s="17" t="str">
        <f t="shared" ref="H31:H32" si="27">IF($C31=ML,"X","")</f>
        <v>X</v>
      </c>
      <c r="I31" s="17">
        <f>IF(H31="X",30*0.1,"")</f>
        <v>3</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23</v>
      </c>
      <c r="D34" s="20"/>
      <c r="E34" s="20">
        <f>SUM(E31:E33)</f>
        <v>20</v>
      </c>
      <c r="F34" s="20"/>
      <c r="G34" s="20">
        <f t="shared" ref="G34:K34" si="30">SUM(G31:G33)</f>
        <v>0</v>
      </c>
      <c r="H34" s="20"/>
      <c r="I34" s="20">
        <f t="shared" si="30"/>
        <v>3</v>
      </c>
      <c r="J34" s="20"/>
      <c r="K34" s="20">
        <f t="shared" si="30"/>
        <v>0</v>
      </c>
    </row>
    <row r="35" spans="1:11" ht="15.75" customHeight="1" x14ac:dyDescent="0.35">
      <c r="A35" s="54"/>
      <c r="B35" s="18" t="s">
        <v>16</v>
      </c>
      <c r="C35" s="21">
        <f>VLOOKUP(C34,ESCALA_TRAB_EQUIP!A2:B62,2,FALSE)</f>
        <v>5.3</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GONZALEZ GARRIDO, SEBASTIAN ALONSO</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78</v>
      </c>
      <c r="D43" s="17" t="str">
        <f t="shared" ref="D43:D44" si="31">IF($C43=CL,"X","")</f>
        <v/>
      </c>
      <c r="E43" s="17" t="str">
        <f>IF(D43="X",100*0.1,"")</f>
        <v/>
      </c>
      <c r="F43" s="17" t="str">
        <f t="shared" ref="F43:F44" si="32">IF($C43=L,"X","")</f>
        <v/>
      </c>
      <c r="G43" s="17" t="str">
        <f>IF(F43="X",60*0.1,"")</f>
        <v/>
      </c>
      <c r="H43" s="17" t="str">
        <f t="shared" ref="H43:H44" si="33">IF($C43=ML,"X","")</f>
        <v>X</v>
      </c>
      <c r="I43" s="17">
        <f>IF(H43="X",30*0.1,"")</f>
        <v>3</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23</v>
      </c>
      <c r="D46" s="20"/>
      <c r="E46" s="20">
        <f>SUM(E43:E45)</f>
        <v>20</v>
      </c>
      <c r="F46" s="20"/>
      <c r="G46" s="20">
        <f t="shared" ref="G46" si="36">SUM(G43:G45)</f>
        <v>0</v>
      </c>
      <c r="H46" s="20"/>
      <c r="I46" s="20">
        <f t="shared" ref="I46" si="37">SUM(I43:I45)</f>
        <v>3</v>
      </c>
      <c r="J46" s="20"/>
      <c r="K46" s="20">
        <f t="shared" ref="K46" si="38">SUM(K43:K45)</f>
        <v>0</v>
      </c>
    </row>
    <row r="47" spans="1:11" ht="15.75" customHeight="1" x14ac:dyDescent="0.35">
      <c r="A47" s="54"/>
      <c r="B47" s="18" t="s">
        <v>16</v>
      </c>
      <c r="C47" s="21">
        <f>VLOOKUP(C46,ESCALA_TRAB_EQUIP!A2:B62,2,FALSE)</f>
        <v>5.3</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LOPEZ ALEGRIA, VICENTE</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78</v>
      </c>
      <c r="D54" s="17" t="str">
        <f t="shared" ref="D54:D55" si="39">IF($C54=CL,"X","")</f>
        <v/>
      </c>
      <c r="E54" s="17" t="str">
        <f>IF(D54="X",100*0.1,"")</f>
        <v/>
      </c>
      <c r="F54" s="17" t="str">
        <f t="shared" ref="F54:F55" si="40">IF($C54=L,"X","")</f>
        <v/>
      </c>
      <c r="G54" s="17" t="str">
        <f>IF(F54="X",60*0.1,"")</f>
        <v/>
      </c>
      <c r="H54" s="17" t="str">
        <f t="shared" ref="H54:H55" si="41">IF($C54=ML,"X","")</f>
        <v>X</v>
      </c>
      <c r="I54" s="17">
        <f>IF(H54="X",30*0.1,"")</f>
        <v>3</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23</v>
      </c>
      <c r="D57" s="20">
        <f>COUNTIF(D55:D56,"X")</f>
        <v>2</v>
      </c>
      <c r="E57" s="20">
        <f>SUM(E54:E56)</f>
        <v>20</v>
      </c>
      <c r="F57" s="20">
        <f t="shared" ref="F57" si="44">SUM(F54:F56)</f>
        <v>0</v>
      </c>
      <c r="G57" s="20">
        <f t="shared" ref="G57" si="45">SUM(G54:G56)</f>
        <v>0</v>
      </c>
      <c r="H57" s="20">
        <f t="shared" ref="H57" si="46">SUM(H54:H56)</f>
        <v>0</v>
      </c>
      <c r="I57" s="20">
        <f t="shared" ref="I57" si="47">SUM(I54:I56)</f>
        <v>3</v>
      </c>
      <c r="J57" s="20">
        <f t="shared" ref="J57" si="48">SUM(J54:J56)</f>
        <v>0</v>
      </c>
      <c r="K57" s="20">
        <f t="shared" ref="K57" si="49">SUM(K54:K56)</f>
        <v>0</v>
      </c>
    </row>
    <row r="58" spans="1:11" ht="15.75" customHeight="1" x14ac:dyDescent="0.35">
      <c r="A58" s="54"/>
      <c r="B58" s="18" t="s">
        <v>16</v>
      </c>
      <c r="C58" s="21">
        <f>VLOOKUP(C57,ESCALA_TRAB_EQUIP!A2:B62,2,FALSE)</f>
        <v>5.3</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2026-09-26T13:03:35Z</dcterms:modified>
</cp:coreProperties>
</file>